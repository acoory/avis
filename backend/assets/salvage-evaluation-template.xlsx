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brac.net\profiles\FR\x603346\Desktop\"/>
    </mc:Choice>
  </mc:AlternateContent>
  <xr:revisionPtr revIDLastSave="0" documentId="13_ncr:1_{620915BE-1037-4EF7-92A3-64FF2B59D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air vs Scra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G25" i="4" l="1"/>
  <c r="H25" i="4" s="1"/>
  <c r="B25" i="4"/>
  <c r="C25" i="4" s="1"/>
  <c r="D25" i="4" s="1"/>
  <c r="E25" i="4" s="1"/>
  <c r="B28" i="4"/>
  <c r="D28" i="4" s="1"/>
  <c r="D29" i="4"/>
  <c r="H29" i="4"/>
  <c r="G29" i="4"/>
  <c r="B29" i="4"/>
  <c r="H27" i="4"/>
  <c r="H26" i="4"/>
  <c r="H24" i="4" s="1"/>
  <c r="E27" i="4"/>
  <c r="D26" i="4"/>
  <c r="E26" i="4" s="1"/>
  <c r="B23" i="4"/>
  <c r="H23" i="4"/>
  <c r="G23" i="4" s="1"/>
  <c r="D24" i="4" l="1"/>
  <c r="E24" i="4" s="1"/>
  <c r="E31" i="4" s="1"/>
  <c r="H31" i="4"/>
  <c r="B31" i="4"/>
  <c r="D23" i="4"/>
  <c r="G31" i="4"/>
  <c r="C31" i="4"/>
  <c r="D31" i="4" l="1"/>
</calcChain>
</file>

<file path=xl/sharedStrings.xml><?xml version="1.0" encoding="utf-8"?>
<sst xmlns="http://schemas.openxmlformats.org/spreadsheetml/2006/main" count="61" uniqueCount="54">
  <si>
    <t>Commentary</t>
  </si>
  <si>
    <t>Repair Costs</t>
  </si>
  <si>
    <t>Slack Days for Repair</t>
  </si>
  <si>
    <t>Total Cost</t>
  </si>
  <si>
    <t>Make</t>
  </si>
  <si>
    <t>Model</t>
  </si>
  <si>
    <t>MVA</t>
  </si>
  <si>
    <t>License No.</t>
  </si>
  <si>
    <t>Purchase Type</t>
  </si>
  <si>
    <t>Repair time plus 4 days</t>
  </si>
  <si>
    <t>Salvage Evaluation</t>
  </si>
  <si>
    <t>Non Return Bonus</t>
  </si>
  <si>
    <t>Transport Costs for Sale/Repair</t>
  </si>
  <si>
    <t>Contractual</t>
  </si>
  <si>
    <t>Projected value</t>
  </si>
  <si>
    <t>Repair vehicle subject to Buyback being honoured</t>
  </si>
  <si>
    <t>Current gross labour &amp; parts prices</t>
  </si>
  <si>
    <t>Marginal transport costs</t>
  </si>
  <si>
    <t>Risk Sale Unrepaired</t>
  </si>
  <si>
    <t>Buyback Return Unrepaired</t>
  </si>
  <si>
    <t>Impairment charge due to obligation to declare previous damage on vehicle</t>
  </si>
  <si>
    <t>NBV</t>
  </si>
  <si>
    <t>Completed by</t>
  </si>
  <si>
    <t>Maintenance</t>
  </si>
  <si>
    <t>Remarketing</t>
  </si>
  <si>
    <t>Fleet Procurement</t>
  </si>
  <si>
    <t>Buyback vehicle</t>
  </si>
  <si>
    <t>Risk Vehicle</t>
  </si>
  <si>
    <t>Repair &amp; Risk Sale</t>
  </si>
  <si>
    <t>Repair &amp; Buyback</t>
  </si>
  <si>
    <t>Finance Fleet</t>
  </si>
  <si>
    <t>Residual Value</t>
  </si>
  <si>
    <t>RV Impairment Charge (Dimunition)</t>
  </si>
  <si>
    <t xml:space="preserve">PROCEDURE </t>
  </si>
  <si>
    <t>Purchase Channel (RISK/BB)</t>
  </si>
  <si>
    <t>KM</t>
  </si>
  <si>
    <t>Date d'immatriculation</t>
  </si>
  <si>
    <t>Date de restituation BB/ RISK</t>
  </si>
  <si>
    <t>Repair Cost</t>
  </si>
  <si>
    <t>à compléter par</t>
  </si>
  <si>
    <t>Remarketing Dpt.</t>
  </si>
  <si>
    <t>Maintenance Dpt.</t>
  </si>
  <si>
    <t>Nombre jours réparations estimé</t>
  </si>
  <si>
    <t>Residual Value Unrepaired</t>
  </si>
  <si>
    <t>Residual Value repaired</t>
  </si>
  <si>
    <t>Transport cost</t>
  </si>
  <si>
    <t xml:space="preserve"> </t>
  </si>
  <si>
    <t>RENAULT</t>
  </si>
  <si>
    <t>Risk</t>
  </si>
  <si>
    <t>CLIO</t>
  </si>
  <si>
    <t>HJ315RK</t>
  </si>
  <si>
    <t>VF1RJA00876532435</t>
  </si>
  <si>
    <t>16MAR26</t>
  </si>
  <si>
    <t>10MAR28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</si>
</sst>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8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wrapText="1"/>
    </xf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3" xfId="0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0" fillId="0" borderId="0" xfId="0" applyAlignment="1">
      <alignment horizontal="left" wrapText="1"/>
    </xf>
    <xf numFmtId="0" fontId="0" fillId="5" borderId="0" xfId="0" applyFill="1"/>
    <xf numFmtId="0" fontId="0" fillId="3" borderId="0" xfId="0" applyFill="1"/>
    <xf numFmtId="0" fontId="13" fillId="3" borderId="5" xfId="0" applyFont="1" applyFill="1" applyBorder="1" applyAlignment="1">
      <alignment horizontal="center" wrapText="1"/>
    </xf>
    <xf numFmtId="0" fontId="14" fillId="3" borderId="5" xfId="0" applyFont="1" applyFill="1" applyBorder="1" applyAlignment="1" applyProtection="1">
      <alignment horizontal="center" vertical="top" wrapText="1" readingOrder="1"/>
      <protection locked="0"/>
    </xf>
    <xf numFmtId="0" fontId="15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4" fontId="1" fillId="3" borderId="5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</cellXfs>
  <cellStyles count="2">
    <cellStyle name="Normal" xfId="0" builtinId="0"/>
    <cellStyle name="Normal 55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1654427</xdr:colOff>
      <xdr:row>1</xdr:row>
      <xdr:rowOff>53975</xdr:rowOff>
    </xdr:to>
    <xdr:pic>
      <xdr:nvPicPr>
        <xdr:cNvPr id="2" name="Picture 1" descr="C:\Users\stewaper\Desktop\abg_rbg_pos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95" t="23684" r="6009" b="25894"/>
        <a:stretch/>
      </xdr:blipFill>
      <xdr:spPr bwMode="auto">
        <a:xfrm>
          <a:off x="0" y="0"/>
          <a:ext cx="1648077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showGridLines="0" tabSelected="1" workbookViewId="0">
      <selection activeCell="D12" sqref="D12"/>
    </sheetView>
  </sheetViews>
  <sheetFormatPr baseColWidth="10" defaultColWidth="9.140625" defaultRowHeight="15" x14ac:dyDescent="0.25"/>
  <cols>
    <col min="1" max="1" width="52.42578125" customWidth="1"/>
    <col min="2" max="2" width="30.42578125" style="1" bestFit="1" customWidth="1"/>
    <col min="3" max="3" width="15.28515625" style="1" customWidth="1"/>
    <col min="4" max="5" width="15.140625" customWidth="1"/>
    <col min="6" max="6" width="3.28515625" customWidth="1"/>
    <col min="7" max="8" width="15.140625" customWidth="1"/>
    <col min="9" max="9" width="68.28515625" customWidth="1"/>
    <col min="10" max="10" width="18.7109375" style="15" customWidth="1"/>
  </cols>
  <sheetData>
    <row r="1" spans="1:9" x14ac:dyDescent="0.25">
      <c r="H1" t="s">
        <v>39</v>
      </c>
    </row>
    <row r="2" spans="1:9" x14ac:dyDescent="0.25">
      <c r="G2" s="28"/>
      <c r="H2" t="s">
        <v>40</v>
      </c>
    </row>
    <row r="3" spans="1:9" ht="21" x14ac:dyDescent="0.25">
      <c r="A3" s="7" t="s">
        <v>10</v>
      </c>
      <c r="B3" s="7"/>
      <c r="G3" s="29"/>
      <c r="H3" t="s">
        <v>41</v>
      </c>
    </row>
    <row r="4" spans="1:9" x14ac:dyDescent="0.25">
      <c r="A4" s="6" t="s">
        <v>4</v>
      </c>
      <c r="B4" s="30" t="s">
        <v>47</v>
      </c>
      <c r="C4" s="25"/>
      <c r="D4" s="24"/>
    </row>
    <row r="5" spans="1:9" x14ac:dyDescent="0.25">
      <c r="A5" s="6" t="s">
        <v>5</v>
      </c>
      <c r="B5" s="31" t="s">
        <v>49</v>
      </c>
      <c r="C5" s="25"/>
      <c r="D5" s="24"/>
      <c r="E5" s="24"/>
    </row>
    <row r="6" spans="1:9" ht="15.75" customHeight="1" x14ac:dyDescent="0.25">
      <c r="A6" s="6" t="s">
        <v>6</v>
      </c>
      <c r="B6" s="32">
        <v>12839724</v>
      </c>
      <c r="C6" s="25"/>
      <c r="D6" s="24"/>
      <c r="E6" s="24"/>
      <c r="F6" s="24"/>
    </row>
    <row r="7" spans="1:9" x14ac:dyDescent="0.25">
      <c r="A7" s="6" t="s">
        <v>7</v>
      </c>
      <c r="B7" s="32" t="s">
        <v>50</v>
      </c>
      <c r="C7" s="26"/>
      <c r="D7" s="23"/>
      <c r="E7" s="23"/>
      <c r="I7" s="23"/>
    </row>
    <row r="8" spans="1:9" x14ac:dyDescent="0.25">
      <c r="A8" s="6" t="s">
        <v>8</v>
      </c>
      <c r="B8" s="30" t="s">
        <v>51</v>
      </c>
      <c r="C8" s="25"/>
    </row>
    <row r="9" spans="1:9" x14ac:dyDescent="0.25">
      <c r="A9" s="27" t="s">
        <v>34</v>
      </c>
      <c r="B9" s="33" t="s">
        <v>48</v>
      </c>
    </row>
    <row r="10" spans="1:9" x14ac:dyDescent="0.25">
      <c r="A10" s="27" t="s">
        <v>35</v>
      </c>
      <c r="B10" s="33">
        <v>6219</v>
      </c>
    </row>
    <row r="11" spans="1:9" x14ac:dyDescent="0.25">
      <c r="A11" s="27" t="s">
        <v>36</v>
      </c>
      <c r="B11" s="34" t="s">
        <v>52</v>
      </c>
    </row>
    <row r="12" spans="1:9" x14ac:dyDescent="0.25">
      <c r="A12" s="27" t="s">
        <v>37</v>
      </c>
      <c r="B12" s="34" t="s">
        <v>53</v>
      </c>
      <c r="C12" s="1" t="s">
        <v>46</v>
      </c>
    </row>
    <row r="13" spans="1:9" x14ac:dyDescent="0.25">
      <c r="A13" s="27" t="s">
        <v>38</v>
      </c>
      <c r="B13" s="35">
        <v>5384.87</v>
      </c>
      <c r="C13" s="1" t="s">
        <v>46</v>
      </c>
    </row>
    <row r="14" spans="1:9" x14ac:dyDescent="0.25">
      <c r="A14" s="27" t="s">
        <v>45</v>
      </c>
      <c r="B14" s="35">
        <v>75</v>
      </c>
    </row>
    <row r="15" spans="1:9" x14ac:dyDescent="0.25">
      <c r="A15" s="27" t="s">
        <v>42</v>
      </c>
      <c r="B15" s="35">
        <v>30</v>
      </c>
    </row>
    <row r="16" spans="1:9" x14ac:dyDescent="0.25">
      <c r="A16" s="19" t="s">
        <v>21</v>
      </c>
      <c r="B16" s="36"/>
    </row>
    <row r="17" spans="1:11" x14ac:dyDescent="0.25">
      <c r="A17" s="19" t="s">
        <v>44</v>
      </c>
      <c r="B17" s="36"/>
    </row>
    <row r="18" spans="1:11" x14ac:dyDescent="0.25">
      <c r="A18" s="19" t="s">
        <v>43</v>
      </c>
      <c r="B18" s="36"/>
    </row>
    <row r="19" spans="1:11" x14ac:dyDescent="0.25">
      <c r="A19" s="19" t="s">
        <v>11</v>
      </c>
      <c r="B19" s="36"/>
    </row>
    <row r="20" spans="1:11" x14ac:dyDescent="0.25">
      <c r="A20" s="2"/>
    </row>
    <row r="21" spans="1:11" s="14" customFormat="1" ht="24.75" customHeight="1" x14ac:dyDescent="0.3">
      <c r="A21" s="20"/>
      <c r="B21" s="37" t="s">
        <v>26</v>
      </c>
      <c r="C21" s="38"/>
      <c r="D21" s="38"/>
      <c r="E21" s="39"/>
      <c r="G21" s="37" t="s">
        <v>27</v>
      </c>
      <c r="H21" s="39"/>
      <c r="J21" s="17"/>
    </row>
    <row r="22" spans="1:11" ht="30" x14ac:dyDescent="0.25">
      <c r="A22" s="4"/>
      <c r="B22" s="4" t="s">
        <v>18</v>
      </c>
      <c r="C22" s="4" t="s">
        <v>19</v>
      </c>
      <c r="D22" s="4" t="s">
        <v>28</v>
      </c>
      <c r="E22" s="4" t="s">
        <v>29</v>
      </c>
      <c r="F22" s="3"/>
      <c r="G22" s="4" t="s">
        <v>18</v>
      </c>
      <c r="H22" s="4" t="s">
        <v>28</v>
      </c>
      <c r="I22" s="5" t="s">
        <v>0</v>
      </c>
      <c r="J22" s="16" t="s">
        <v>22</v>
      </c>
    </row>
    <row r="23" spans="1:11" x14ac:dyDescent="0.25">
      <c r="A23" s="19" t="s">
        <v>21</v>
      </c>
      <c r="B23" s="8">
        <f>IF(B9="Risk",0,B16)</f>
        <v>0</v>
      </c>
      <c r="C23" s="11"/>
      <c r="D23" s="8">
        <f>B23</f>
        <v>0</v>
      </c>
      <c r="E23" s="11"/>
      <c r="F23" s="10"/>
      <c r="G23" s="8">
        <f>H23</f>
        <v>0</v>
      </c>
      <c r="H23" s="8">
        <f>IF(B9="Risk",B16,0)</f>
        <v>0</v>
      </c>
      <c r="I23" s="10"/>
      <c r="J23" s="18" t="s">
        <v>30</v>
      </c>
    </row>
    <row r="24" spans="1:11" ht="15.75" customHeight="1" x14ac:dyDescent="0.25">
      <c r="A24" s="19" t="s">
        <v>32</v>
      </c>
      <c r="B24" s="11"/>
      <c r="C24" s="11"/>
      <c r="D24" s="8">
        <f>D26*0.1</f>
        <v>0</v>
      </c>
      <c r="E24" s="8">
        <f>D24</f>
        <v>0</v>
      </c>
      <c r="F24" s="10"/>
      <c r="G24" s="11"/>
      <c r="H24" s="8">
        <f>H26*0.1</f>
        <v>538.48699999999997</v>
      </c>
      <c r="I24" s="12" t="s">
        <v>20</v>
      </c>
      <c r="J24" s="18" t="s">
        <v>25</v>
      </c>
    </row>
    <row r="25" spans="1:11" x14ac:dyDescent="0.25">
      <c r="A25" s="19" t="s">
        <v>12</v>
      </c>
      <c r="B25" s="8">
        <f>IF(B9="Risk",0,B14)</f>
        <v>0</v>
      </c>
      <c r="C25" s="8">
        <f>B25</f>
        <v>0</v>
      </c>
      <c r="D25" s="8">
        <f>C25</f>
        <v>0</v>
      </c>
      <c r="E25" s="8">
        <f>D25</f>
        <v>0</v>
      </c>
      <c r="F25" s="10"/>
      <c r="G25" s="8">
        <f>IF(B9="Risk",B14,0)</f>
        <v>75</v>
      </c>
      <c r="H25" s="8">
        <f>G25</f>
        <v>75</v>
      </c>
      <c r="I25" s="10" t="s">
        <v>17</v>
      </c>
      <c r="J25" s="18" t="s">
        <v>23</v>
      </c>
    </row>
    <row r="26" spans="1:11" ht="14.45" customHeight="1" x14ac:dyDescent="0.25">
      <c r="A26" s="19" t="s">
        <v>1</v>
      </c>
      <c r="B26" s="11"/>
      <c r="C26" s="11"/>
      <c r="D26" s="8">
        <f>IF(B9="Risk",0,B13)</f>
        <v>0</v>
      </c>
      <c r="E26" s="8">
        <f>D26</f>
        <v>0</v>
      </c>
      <c r="F26" s="10"/>
      <c r="G26" s="11"/>
      <c r="H26" s="8">
        <f>IF(B9="Risk",B13,0)</f>
        <v>5384.87</v>
      </c>
      <c r="I26" s="12" t="s">
        <v>16</v>
      </c>
      <c r="J26" s="18" t="s">
        <v>23</v>
      </c>
    </row>
    <row r="27" spans="1:11" x14ac:dyDescent="0.25">
      <c r="A27" s="19" t="s">
        <v>2</v>
      </c>
      <c r="B27" s="11"/>
      <c r="C27" s="11"/>
      <c r="D27" s="8">
        <f>IF(B9="Risk",0,B15)*25</f>
        <v>0</v>
      </c>
      <c r="E27" s="8">
        <f>D27</f>
        <v>0</v>
      </c>
      <c r="F27" s="10"/>
      <c r="G27" s="11"/>
      <c r="H27" s="8">
        <f>IF(B9="Risk",B15,0)*25</f>
        <v>750</v>
      </c>
      <c r="I27" s="10" t="s">
        <v>9</v>
      </c>
      <c r="J27" s="21" t="s">
        <v>33</v>
      </c>
      <c r="K27" s="22"/>
    </row>
    <row r="28" spans="1:11" x14ac:dyDescent="0.25">
      <c r="A28" s="19" t="s">
        <v>11</v>
      </c>
      <c r="B28" s="8">
        <f>IF(B9="Risk",0,B19)</f>
        <v>0</v>
      </c>
      <c r="C28" s="9"/>
      <c r="D28" s="8">
        <f>B28</f>
        <v>0</v>
      </c>
      <c r="E28" s="11"/>
      <c r="F28" s="10"/>
      <c r="G28" s="11"/>
      <c r="H28" s="11"/>
      <c r="I28" s="10" t="s">
        <v>13</v>
      </c>
      <c r="J28" s="18" t="s">
        <v>25</v>
      </c>
    </row>
    <row r="29" spans="1:11" x14ac:dyDescent="0.25">
      <c r="A29" s="19" t="s">
        <v>31</v>
      </c>
      <c r="B29" s="8">
        <f>IF(B9="Risk",0,B18)</f>
        <v>0</v>
      </c>
      <c r="C29" s="11"/>
      <c r="D29" s="8">
        <f>IF(B9="Risk",0,B17)</f>
        <v>0</v>
      </c>
      <c r="E29" s="11"/>
      <c r="F29" s="10"/>
      <c r="G29" s="8">
        <f>IF(B9="Risk",B18,0)</f>
        <v>0</v>
      </c>
      <c r="H29" s="8">
        <f>IF(B9="Risk",B17,0)</f>
        <v>0</v>
      </c>
      <c r="I29" s="10" t="s">
        <v>14</v>
      </c>
      <c r="J29" s="18" t="s">
        <v>24</v>
      </c>
    </row>
    <row r="30" spans="1:11" x14ac:dyDescent="0.25">
      <c r="A30" s="19"/>
      <c r="B30" s="8"/>
      <c r="C30" s="8"/>
      <c r="D30" s="10"/>
      <c r="E30" s="10"/>
      <c r="F30" s="10"/>
      <c r="G30" s="10"/>
      <c r="H30" s="10"/>
      <c r="I30" s="10"/>
    </row>
    <row r="31" spans="1:11" ht="15.75" thickBot="1" x14ac:dyDescent="0.3">
      <c r="A31" s="19" t="s">
        <v>3</v>
      </c>
      <c r="B31" s="13">
        <f>SUM(B23:B27)-SUM(B28:B29)</f>
        <v>0</v>
      </c>
      <c r="C31" s="13">
        <f>SUM(C23:C27)-SUM(C28:C29)</f>
        <v>0</v>
      </c>
      <c r="D31" s="13">
        <f>SUM(D23:D27)-SUM(D28:D29)</f>
        <v>0</v>
      </c>
      <c r="E31" s="13">
        <f>SUM(E23:E27)-SUM(E28:E29)</f>
        <v>0</v>
      </c>
      <c r="F31" s="10"/>
      <c r="G31" s="13">
        <f>SUM(G23:G27)-SUM(G28:G29)</f>
        <v>75</v>
      </c>
      <c r="H31" s="13">
        <f>SUM(H23:H27)-SUM(H28:H29)</f>
        <v>6748.357</v>
      </c>
      <c r="I31" s="10"/>
    </row>
    <row r="32" spans="1:11" ht="15.75" thickTop="1" x14ac:dyDescent="0.25">
      <c r="J32"/>
    </row>
    <row r="33" spans="2:10" ht="18.75" x14ac:dyDescent="0.3">
      <c r="B33" s="40" t="s">
        <v>15</v>
      </c>
      <c r="C33" s="41"/>
      <c r="D33" s="41"/>
      <c r="E33" s="41"/>
      <c r="F33" s="41"/>
      <c r="G33" s="41"/>
      <c r="H33" s="42"/>
      <c r="J33"/>
    </row>
    <row r="34" spans="2:10" x14ac:dyDescent="0.25">
      <c r="J34"/>
    </row>
  </sheetData>
  <mergeCells count="3">
    <mergeCell ref="B21:E21"/>
    <mergeCell ref="G21:H21"/>
    <mergeCell ref="B33:H33"/>
  </mergeCells>
  <dataValidations count="1">
    <dataValidation type="list" allowBlank="1" showInputMessage="1" showErrorMessage="1" sqref="B9" xr:uid="{683D5865-1A88-4984-9EC4-EF9E0B9DE18A}">
      <formula1>"Buy Back,Risk,Op Lease"</formula1>
    </dataValidation>
  </dataValidations>
  <pageMargins left="0.7" right="0.7" top="0.75" bottom="0.75" header="0.3" footer="0.3"/>
  <pageSetup paperSize="9" scale="6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BD6AE06EA7C4C8513D299F54ABAB4" ma:contentTypeVersion="4" ma:contentTypeDescription="Crée un document." ma:contentTypeScope="" ma:versionID="3d01294d51e5e3e8273030ceb657dd50">
  <xsd:schema xmlns:xsd="http://www.w3.org/2001/XMLSchema" xmlns:xs="http://www.w3.org/2001/XMLSchema" xmlns:p="http://schemas.microsoft.com/office/2006/metadata/properties" xmlns:ns2="005039c5-a9e4-4f52-8637-a73e030e28e5" xmlns:ns3="b665b2f4-2aa9-426e-a414-ee754f94e890" targetNamespace="http://schemas.microsoft.com/office/2006/metadata/properties" ma:root="true" ma:fieldsID="c157fa05323295425be5ec932d28ea93" ns2:_="" ns3:_="">
    <xsd:import namespace="005039c5-a9e4-4f52-8637-a73e030e28e5"/>
    <xsd:import namespace="b665b2f4-2aa9-426e-a414-ee754f94e8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039c5-a9e4-4f52-8637-a73e030e2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5b2f4-2aa9-426e-a414-ee754f94e8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FCAB1-441F-45D0-8BE2-723FD4BD7306}">
  <ds:schemaRefs>
    <ds:schemaRef ds:uri="http://purl.org/dc/elements/1.1/"/>
    <ds:schemaRef ds:uri="http://schemas.microsoft.com/office/2006/documentManagement/types"/>
    <ds:schemaRef ds:uri="http://www.w3.org/XML/1998/namespace"/>
    <ds:schemaRef ds:uri="b665b2f4-2aa9-426e-a414-ee754f94e890"/>
    <ds:schemaRef ds:uri="005039c5-a9e4-4f52-8637-a73e030e28e5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80151A4-2B07-4160-B95A-2D4F222373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3B758-CCF6-4031-AFFD-7A1A22273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5039c5-a9e4-4f52-8637-a73e030e28e5"/>
    <ds:schemaRef ds:uri="b665b2f4-2aa9-426e-a414-ee754f94e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Repair vs 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David</dc:creator>
  <cp:lastModifiedBy>Carole Dumas</cp:lastModifiedBy>
  <cp:lastPrinted>2014-05-06T20:05:08Z</cp:lastPrinted>
  <dcterms:created xsi:type="dcterms:W3CDTF">2014-03-03T21:49:22Z</dcterms:created>
  <dcterms:modified xsi:type="dcterms:W3CDTF">2026-07-21T09:11:26Z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0x010100893BD6AE06EA7C4C8513D299F54ABAB4</vt:lpwstr>
  </property>
</Properties>
</file>